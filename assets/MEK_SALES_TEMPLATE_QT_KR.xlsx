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2_other_version\client\assets\"/>
    </mc:Choice>
  </mc:AlternateContent>
  <xr:revisionPtr revIDLastSave="0" documentId="13_ncr:1_{687873C2-727D-4DB4-8B56-48EC32CB49A7}" xr6:coauthVersionLast="47" xr6:coauthVersionMax="47" xr10:uidLastSave="{00000000-0000-0000-0000-000000000000}"/>
  <bookViews>
    <workbookView xWindow="-28470" yWindow="1170" windowWidth="28470" windowHeight="13485" tabRatio="963" xr2:uid="{00000000-000D-0000-FFFF-FFFF00000000}"/>
  </bookViews>
  <sheets>
    <sheet name="QT_FORM_TEST" sheetId="29" r:id="rId1"/>
  </sheets>
  <externalReferences>
    <externalReference r:id="rId2"/>
  </externalReferences>
  <definedNames>
    <definedName name="EuroRate">[1]Proformer_Euro!$L$19</definedName>
    <definedName name="_xlnm.Print_Area" localSheetId="0">QT_FORM_TEST!$A$1:$H$45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9" l="1"/>
  <c r="H40" i="29" l="1"/>
  <c r="J37" i="29" l="1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D10" i="29" l="1"/>
  <c r="D9" i="29"/>
</calcChain>
</file>

<file path=xl/sharedStrings.xml><?xml version="1.0" encoding="utf-8"?>
<sst xmlns="http://schemas.openxmlformats.org/spreadsheetml/2006/main" count="64" uniqueCount="59">
  <si>
    <t>지불조건</t>
    <phoneticPr fontId="1" type="noConversion"/>
  </si>
  <si>
    <t>NO</t>
    <phoneticPr fontId="1" type="noConversion"/>
  </si>
  <si>
    <t>㈜멕아이씨에스</t>
    <phoneticPr fontId="1" type="noConversion"/>
  </si>
  <si>
    <t>No.</t>
    <phoneticPr fontId="3" type="noConversion"/>
  </si>
  <si>
    <t>수량</t>
    <phoneticPr fontId="20" type="noConversion"/>
  </si>
  <si>
    <t>단위</t>
    <phoneticPr fontId="20" type="noConversion"/>
  </si>
  <si>
    <t>단 가</t>
    <phoneticPr fontId="20" type="noConversion"/>
  </si>
  <si>
    <t>합 계</t>
    <phoneticPr fontId="20" type="noConversion"/>
  </si>
  <si>
    <t>품목 내역</t>
    <phoneticPr fontId="3" type="noConversion"/>
  </si>
  <si>
    <t>총합계</t>
    <phoneticPr fontId="1" type="noConversion"/>
  </si>
  <si>
    <t>소                계</t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</si>
  <si>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</t>
    </r>
    <r>
      <rPr>
        <b/>
        <sz val="9"/>
        <color theme="0"/>
        <rFont val="Arial"/>
        <family val="2"/>
      </rPr>
      <t xml:space="preserve"> MIN. PRICE </t>
    </r>
    <r>
      <rPr>
        <b/>
        <sz val="9"/>
        <color theme="0"/>
        <rFont val="돋움"/>
        <family val="3"/>
        <charset val="129"/>
      </rPr>
      <t>체크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</si>
  <si>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t>납기일</t>
    <phoneticPr fontId="3" type="noConversion"/>
  </si>
  <si>
    <t>입금계좌</t>
    <phoneticPr fontId="1" type="noConversion"/>
  </si>
  <si>
    <t xml:space="preserve">   문서번호</t>
    <phoneticPr fontId="20" type="noConversion"/>
  </si>
  <si>
    <t xml:space="preserve">   발행일자</t>
    <phoneticPr fontId="3" type="noConversion"/>
  </si>
  <si>
    <t xml:space="preserve">   고객명</t>
    <phoneticPr fontId="3" type="noConversion"/>
  </si>
  <si>
    <t xml:space="preserve">   일  금</t>
    <phoneticPr fontId="3" type="noConversion"/>
  </si>
  <si>
    <t xml:space="preserve">   금  액</t>
    <phoneticPr fontId="3" type="noConversion"/>
  </si>
  <si>
    <t>기업은행 688 015832 04 015 / 예금주 (주)멕아이씨에스</t>
    <phoneticPr fontId="1" type="noConversion"/>
  </si>
  <si>
    <t>발신</t>
    <phoneticPr fontId="1" type="noConversion"/>
  </si>
  <si>
    <t>담당자</t>
    <phoneticPr fontId="1" type="noConversion"/>
  </si>
  <si>
    <t>연락처</t>
    <phoneticPr fontId="1" type="noConversion"/>
  </si>
  <si>
    <t xml:space="preserve"> ' 문의 하신 내용에 대하여, 다음과 같이 견적 합니다.</t>
    <phoneticPr fontId="1" type="noConversion"/>
  </si>
  <si>
    <t>Power: 110 ~ 240 VAC, 50 ~ 60Hz</t>
    <phoneticPr fontId="3" type="noConversion"/>
  </si>
  <si>
    <t>협의</t>
    <phoneticPr fontId="1" type="noConversion"/>
  </si>
  <si>
    <t>&lt; 부가세 포함 &gt;</t>
    <phoneticPr fontId="1" type="noConversion"/>
  </si>
  <si>
    <t>협의</t>
    <phoneticPr fontId="1" type="noConversion"/>
  </si>
  <si>
    <t>VAT포함</t>
    <phoneticPr fontId="1" type="noConversion"/>
  </si>
  <si>
    <t>set</t>
    <phoneticPr fontId="1" type="noConversion"/>
  </si>
  <si>
    <t xml:space="preserve">1 x </t>
    <phoneticPr fontId="3" type="noConversion"/>
  </si>
  <si>
    <t xml:space="preserve">1 x </t>
    <phoneticPr fontId="3" type="noConversion"/>
  </si>
  <si>
    <t>Multi-Functional Non-Invasice Respiratory Device</t>
    <phoneticPr fontId="3" type="noConversion"/>
  </si>
  <si>
    <t>Model: OmniOx HFT750</t>
    <phoneticPr fontId="3" type="noConversion"/>
  </si>
  <si>
    <t>5.0" Touch Screen TFT Color LCD</t>
    <phoneticPr fontId="3" type="noConversion"/>
  </si>
  <si>
    <t>(HF, CPAP, S/T(Bi-Level))</t>
    <phoneticPr fontId="1" type="noConversion"/>
  </si>
  <si>
    <t>Humidifier Heated Cable</t>
    <phoneticPr fontId="1" type="noConversion"/>
  </si>
  <si>
    <t>Cable Spo2 Extension 1.5m for HFT System</t>
    <phoneticPr fontId="1" type="noConversion"/>
  </si>
  <si>
    <t>4 x</t>
    <phoneticPr fontId="3" type="noConversion"/>
  </si>
  <si>
    <t>Air intake Filter</t>
    <phoneticPr fontId="1" type="noConversion"/>
  </si>
  <si>
    <t>High Presssure O2 Hose, Green</t>
    <phoneticPr fontId="1" type="noConversion"/>
  </si>
  <si>
    <t>Internal Li-ion Battery</t>
    <phoneticPr fontId="1" type="noConversion"/>
  </si>
  <si>
    <t>1 x</t>
    <phoneticPr fontId="1" type="noConversion"/>
  </si>
  <si>
    <t>HFT750 Cart</t>
    <phoneticPr fontId="1" type="noConversion"/>
  </si>
  <si>
    <t>O2 Hose Adaptor</t>
    <phoneticPr fontId="1" type="noConversion"/>
  </si>
  <si>
    <t>TSF (Target Spo2 Feedback Controlled by FIO2)</t>
    <phoneticPr fontId="1" type="noConversion"/>
  </si>
  <si>
    <t>OmniOx HFT750 Main device with standard accessories</t>
    <phoneticPr fontId="1" type="noConversion"/>
  </si>
  <si>
    <t>SPO2 Reusable Sensor</t>
    <phoneticPr fontId="1" type="noConversion"/>
  </si>
  <si>
    <t>* 워런티기간 3년 (단, 소모성 품목은 제외)</t>
    <phoneticPr fontId="1" type="noConversion"/>
  </si>
  <si>
    <t>[ ACC 및 구성]</t>
    <phoneticPr fontId="1" type="noConversion"/>
  </si>
  <si>
    <t>MP250507-001</t>
    <phoneticPr fontId="3" type="noConversion"/>
  </si>
  <si>
    <t>* 본 견적의 유효기간은 1개월 입니다.</t>
    <phoneticPr fontId="1" type="noConversion"/>
  </si>
  <si>
    <t>$(issue_date)</t>
    <phoneticPr fontId="1" type="noConversion"/>
  </si>
  <si>
    <t>$(customer_name)</t>
    <phoneticPr fontId="1" type="noConversion"/>
  </si>
  <si>
    <t>$(customer_mgr)</t>
    <phoneticPr fontId="1" type="noConversion"/>
  </si>
  <si>
    <t>$(MEKICS_EMP_NAME)</t>
    <phoneticPr fontId="1" type="noConversion"/>
  </si>
  <si>
    <t>$(MEKICS_EMP_PHONE_NUM)</t>
    <phoneticPr fontId="1" type="noConversion"/>
  </si>
  <si>
    <t>견 적 서sdfdsdsf_수정함_)0919그대로 가져오기</t>
    <phoneticPr fontId="3" type="noConversion"/>
  </si>
  <si>
    <t>sdfdfdssfd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</si>
</sst>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&quot;₩&quot;#,##0_);[Red]\(&quot;₩&quot;#,##0\)"/>
    <numFmt numFmtId="178" formatCode="#,##0.0000000000"/>
    <numFmt numFmtId="179" formatCode="&quot;RM&quot;#,##0_);[Red]\(&quot;RM&quot;#,##0\)"/>
    <numFmt numFmtId="180" formatCode="&quot;RM&quot;#,##0_);\(&quot;RM&quot;#,##0\)"/>
    <numFmt numFmtId="181" formatCode="yyyy&quot;년&quot;\ m&quot;월&quot;\ d&quot;일&quot;;@"/>
    <numFmt numFmtId="182" formatCode="[DBNum4][$-412]General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굴림"/>
      <family val="3"/>
      <charset val="129"/>
    </font>
    <font>
      <sz val="9"/>
      <name val="Arial"/>
      <family val="2"/>
    </font>
    <font>
      <sz val="8"/>
      <name val="Arial"/>
      <family val="2"/>
    </font>
    <font>
      <sz val="20"/>
      <name val="Arial"/>
      <family val="2"/>
    </font>
    <font>
      <b/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b/>
      <sz val="14"/>
      <name val="굴림"/>
      <family val="3"/>
      <charset val="129"/>
    </font>
    <font>
      <sz val="8"/>
      <name val="바탕"/>
      <family val="1"/>
      <charset val="129"/>
    </font>
    <font>
      <sz val="1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28"/>
      <name val="휴먼둥근헤드라인"/>
      <family val="1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b/>
      <sz val="18"/>
      <name val="굴림"/>
      <family val="3"/>
      <charset val="129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/>
      <name val="돋움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sz val="11"/>
      <color rgb="FFFF0000"/>
      <name val="굴림"/>
      <family val="3"/>
      <charset val="129"/>
    </font>
    <font>
      <sz val="9"/>
      <color rgb="FFFF0000"/>
      <name val="굴림"/>
      <family val="3"/>
      <charset val="129"/>
    </font>
    <font>
      <sz val="18"/>
      <name val="굴림"/>
      <family val="3"/>
      <charset val="129"/>
    </font>
    <font>
      <b/>
      <sz val="18"/>
      <color rgb="FFFF0000"/>
      <name val="굴림"/>
      <family val="3"/>
      <charset val="129"/>
    </font>
    <font>
      <b/>
      <sz val="36"/>
      <name val="굴림"/>
      <family val="3"/>
      <charset val="129"/>
    </font>
    <font>
      <b/>
      <u/>
      <sz val="36"/>
      <name val="굴림"/>
      <family val="3"/>
      <charset val="129"/>
    </font>
    <font>
      <sz val="36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/>
      <right/>
      <top/>
      <bottom style="dotted">
        <color theme="0"/>
      </bottom>
      <diagonal/>
    </border>
    <border>
      <left/>
      <right/>
      <top style="dotted">
        <color theme="0"/>
      </top>
      <bottom/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14" fillId="0" borderId="0"/>
    <xf numFmtId="0" fontId="15" fillId="0" borderId="0"/>
    <xf numFmtId="38" fontId="7" fillId="6" borderId="0" applyNumberFormat="0" applyBorder="0" applyAlignment="0" applyProtection="0"/>
    <xf numFmtId="0" fontId="16" fillId="0" borderId="0">
      <alignment horizontal="left"/>
    </xf>
    <xf numFmtId="0" fontId="13" fillId="0" borderId="7" applyNumberFormat="0" applyAlignment="0" applyProtection="0">
      <alignment horizontal="left" vertical="center"/>
    </xf>
    <xf numFmtId="0" fontId="13" fillId="0" borderId="3">
      <alignment horizontal="left" vertical="center"/>
    </xf>
    <xf numFmtId="10" fontId="7" fillId="6" borderId="1" applyNumberFormat="0" applyBorder="0" applyAlignment="0" applyProtection="0"/>
    <xf numFmtId="0" fontId="17" fillId="0" borderId="8"/>
    <xf numFmtId="178" fontId="18" fillId="0" borderId="0"/>
    <xf numFmtId="10" fontId="4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</cellStyleXfs>
  <cellXfs count="128">
    <xf numFmtId="0" fontId="0" fillId="0" borderId="0" xfId="0">
      <alignment vertical="center"/>
    </xf>
    <xf numFmtId="0" fontId="2" fillId="0" borderId="0" xfId="0" applyFont="1">
      <alignment vertical="center"/>
    </xf>
    <xf numFmtId="41" fontId="4" fillId="0" borderId="0" xfId="0" applyNumberFormat="1" applyFont="1">
      <alignment vertical="center"/>
    </xf>
    <xf numFmtId="41" fontId="6" fillId="0" borderId="0" xfId="0" applyNumberFormat="1" applyFont="1">
      <alignment vertical="center"/>
    </xf>
    <xf numFmtId="41" fontId="4" fillId="0" borderId="0" xfId="0" applyNumberFormat="1" applyFont="1" applyAlignment="1">
      <alignment horizontal="left" vertical="center"/>
    </xf>
    <xf numFmtId="41" fontId="8" fillId="0" borderId="0" xfId="0" applyNumberFormat="1" applyFont="1" applyAlignment="1"/>
    <xf numFmtId="41" fontId="32" fillId="0" borderId="32" xfId="0" applyNumberFormat="1" applyFont="1" applyBorder="1" applyAlignment="1">
      <alignment horizontal="centerContinuous" vertical="center"/>
    </xf>
    <xf numFmtId="41" fontId="31" fillId="0" borderId="31" xfId="0" applyNumberFormat="1" applyFont="1" applyBorder="1">
      <alignment vertical="center"/>
    </xf>
    <xf numFmtId="0" fontId="31" fillId="0" borderId="31" xfId="0" applyFont="1" applyBorder="1" applyAlignment="1">
      <alignment horizontal="center" vertical="center"/>
    </xf>
    <xf numFmtId="0" fontId="23" fillId="2" borderId="0" xfId="18" applyFont="1" applyFill="1" applyAlignment="1" applyProtection="1">
      <alignment vertical="center"/>
      <protection locked="0"/>
    </xf>
    <xf numFmtId="0" fontId="24" fillId="2" borderId="0" xfId="18" applyFont="1" applyFill="1" applyAlignment="1" applyProtection="1">
      <alignment horizontal="center" vertical="center"/>
      <protection locked="0"/>
    </xf>
    <xf numFmtId="0" fontId="26" fillId="2" borderId="0" xfId="18" applyFont="1" applyFill="1" applyAlignment="1" applyProtection="1">
      <alignment vertical="center"/>
      <protection locked="0"/>
    </xf>
    <xf numFmtId="0" fontId="27" fillId="2" borderId="0" xfId="18" applyFont="1" applyFill="1" applyAlignment="1" applyProtection="1">
      <alignment vertical="center"/>
      <protection locked="0"/>
    </xf>
    <xf numFmtId="0" fontId="28" fillId="2" borderId="0" xfId="18" applyFont="1" applyFill="1" applyAlignment="1" applyProtection="1">
      <alignment horizontal="center" vertical="center"/>
      <protection locked="0"/>
    </xf>
    <xf numFmtId="0" fontId="5" fillId="2" borderId="0" xfId="18" applyFont="1" applyFill="1" applyAlignment="1" applyProtection="1">
      <alignment vertical="center"/>
      <protection locked="0"/>
    </xf>
    <xf numFmtId="31" fontId="26" fillId="2" borderId="0" xfId="18" applyNumberFormat="1" applyFont="1" applyFill="1" applyAlignment="1" applyProtection="1">
      <alignment horizontal="left" vertical="center"/>
      <protection locked="0"/>
    </xf>
    <xf numFmtId="0" fontId="27" fillId="2" borderId="0" xfId="18" applyFont="1" applyFill="1" applyAlignment="1" applyProtection="1">
      <alignment horizontal="left" vertical="center"/>
      <protection locked="0"/>
    </xf>
    <xf numFmtId="0" fontId="27" fillId="2" borderId="0" xfId="18" applyFont="1" applyFill="1" applyAlignment="1" applyProtection="1">
      <alignment horizontal="center" vertical="center"/>
      <protection locked="0"/>
    </xf>
    <xf numFmtId="0" fontId="2" fillId="2" borderId="0" xfId="18" applyFont="1" applyFill="1" applyAlignment="1" applyProtection="1">
      <alignment vertical="center"/>
      <protection locked="0"/>
    </xf>
    <xf numFmtId="0" fontId="29" fillId="2" borderId="0" xfId="18" applyFont="1" applyFill="1" applyAlignment="1" applyProtection="1">
      <alignment horizontal="left" vertical="center"/>
      <protection locked="0"/>
    </xf>
    <xf numFmtId="0" fontId="29" fillId="2" borderId="0" xfId="18" applyFont="1" applyFill="1" applyAlignment="1" applyProtection="1">
      <alignment vertical="center"/>
      <protection locked="0"/>
    </xf>
    <xf numFmtId="0" fontId="30" fillId="2" borderId="0" xfId="18" applyFont="1" applyFill="1" applyAlignment="1" applyProtection="1">
      <alignment vertical="center"/>
      <protection locked="0"/>
    </xf>
    <xf numFmtId="0" fontId="23" fillId="2" borderId="0" xfId="18" applyFont="1" applyFill="1" applyAlignment="1">
      <alignment vertical="center"/>
    </xf>
    <xf numFmtId="0" fontId="24" fillId="2" borderId="0" xfId="18" applyFont="1" applyFill="1" applyAlignment="1">
      <alignment horizontal="center" vertical="center"/>
    </xf>
    <xf numFmtId="0" fontId="27" fillId="2" borderId="0" xfId="18" applyFont="1" applyFill="1" applyAlignment="1">
      <alignment vertical="center"/>
    </xf>
    <xf numFmtId="0" fontId="19" fillId="2" borderId="15" xfId="0" applyFont="1" applyFill="1" applyBorder="1">
      <alignment vertical="center"/>
    </xf>
    <xf numFmtId="0" fontId="19" fillId="2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177" fontId="22" fillId="2" borderId="27" xfId="0" applyNumberFormat="1" applyFont="1" applyFill="1" applyBorder="1" applyAlignment="1">
      <alignment horizontal="right" vertical="center"/>
    </xf>
    <xf numFmtId="177" fontId="22" fillId="2" borderId="13" xfId="0" applyNumberFormat="1" applyFont="1" applyFill="1" applyBorder="1" applyAlignment="1">
      <alignment horizontal="right" vertical="center"/>
    </xf>
    <xf numFmtId="0" fontId="22" fillId="2" borderId="26" xfId="0" applyFont="1" applyFill="1" applyBorder="1">
      <alignment vertical="center"/>
    </xf>
    <xf numFmtId="49" fontId="21" fillId="2" borderId="9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177" fontId="22" fillId="2" borderId="30" xfId="0" applyNumberFormat="1" applyFont="1" applyFill="1" applyBorder="1">
      <alignment vertical="center"/>
    </xf>
    <xf numFmtId="177" fontId="22" fillId="2" borderId="14" xfId="0" applyNumberFormat="1" applyFont="1" applyFill="1" applyBorder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3" xfId="0" applyFont="1" applyFill="1" applyBorder="1">
      <alignment vertical="center"/>
    </xf>
    <xf numFmtId="0" fontId="5" fillId="2" borderId="24" xfId="0" applyFont="1" applyFill="1" applyBorder="1" applyAlignment="1">
      <alignment horizontal="center" vertical="center"/>
    </xf>
    <xf numFmtId="177" fontId="5" fillId="2" borderId="24" xfId="0" applyNumberFormat="1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177" fontId="5" fillId="2" borderId="27" xfId="0" applyNumberFormat="1" applyFont="1" applyFill="1" applyBorder="1" applyAlignment="1">
      <alignment horizontal="right" vertical="center"/>
    </xf>
    <xf numFmtId="177" fontId="5" fillId="2" borderId="13" xfId="0" applyNumberFormat="1" applyFont="1" applyFill="1" applyBorder="1" applyAlignment="1">
      <alignment horizontal="right" vertical="center"/>
    </xf>
    <xf numFmtId="0" fontId="5" fillId="5" borderId="26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5" borderId="12" xfId="0" applyFont="1" applyFill="1" applyBorder="1">
      <alignment vertical="center"/>
    </xf>
    <xf numFmtId="0" fontId="21" fillId="2" borderId="10" xfId="0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8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Alignment="1" applyProtection="1">
      <alignment horizontal="center" vertical="center"/>
      <protection locked="0"/>
    </xf>
    <xf numFmtId="177" fontId="22" fillId="2" borderId="30" xfId="0" applyNumberFormat="1" applyFont="1" applyFill="1" applyBorder="1" applyProtection="1">
      <alignment vertical="center"/>
      <protection locked="0"/>
    </xf>
    <xf numFmtId="177" fontId="9" fillId="4" borderId="1" xfId="20" applyNumberFormat="1" applyFont="1" applyFill="1" applyBorder="1" applyAlignment="1" applyProtection="1">
      <alignment horizontal="right" vertical="center"/>
      <protection locked="0"/>
    </xf>
    <xf numFmtId="177" fontId="22" fillId="2" borderId="14" xfId="0" applyNumberFormat="1" applyFont="1" applyFill="1" applyBorder="1" applyProtection="1">
      <alignment vertical="center"/>
      <protection locked="0"/>
    </xf>
    <xf numFmtId="177" fontId="5" fillId="2" borderId="25" xfId="0" applyNumberFormat="1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/>
    </xf>
    <xf numFmtId="0" fontId="34" fillId="2" borderId="17" xfId="0" applyFont="1" applyFill="1" applyBorder="1" applyAlignment="1">
      <alignment horizontal="center"/>
    </xf>
    <xf numFmtId="0" fontId="34" fillId="2" borderId="20" xfId="0" applyFont="1" applyFill="1" applyBorder="1" applyAlignment="1">
      <alignment horizontal="center"/>
    </xf>
    <xf numFmtId="0" fontId="36" fillId="4" borderId="1" xfId="18" applyFont="1" applyFill="1" applyBorder="1" applyAlignment="1" applyProtection="1">
      <alignment horizontal="center" vertical="center"/>
      <protection locked="0"/>
    </xf>
    <xf numFmtId="42" fontId="37" fillId="4" borderId="1" xfId="20" applyFont="1" applyFill="1" applyBorder="1" applyAlignment="1" applyProtection="1">
      <alignment horizontal="right" vertical="center"/>
      <protection locked="0"/>
    </xf>
    <xf numFmtId="0" fontId="35" fillId="2" borderId="0" xfId="18" applyFont="1" applyFill="1" applyAlignment="1" applyProtection="1">
      <alignment horizontal="left" vertical="center"/>
      <protection locked="0"/>
    </xf>
    <xf numFmtId="177" fontId="37" fillId="4" borderId="1" xfId="20" applyNumberFormat="1" applyFont="1" applyFill="1" applyBorder="1" applyAlignment="1" applyProtection="1">
      <alignment horizontal="right" vertical="center"/>
      <protection locked="0"/>
    </xf>
    <xf numFmtId="0" fontId="38" fillId="2" borderId="0" xfId="18" applyFont="1" applyFill="1" applyAlignment="1" applyProtection="1">
      <alignment horizontal="left" vertical="center"/>
      <protection locked="0"/>
    </xf>
    <xf numFmtId="0" fontId="36" fillId="2" borderId="0" xfId="18" applyFont="1" applyFill="1" applyAlignment="1" applyProtection="1">
      <alignment horizontal="center" vertical="center"/>
      <protection locked="0"/>
    </xf>
    <xf numFmtId="42" fontId="37" fillId="2" borderId="0" xfId="20" applyFont="1" applyFill="1" applyBorder="1" applyAlignment="1" applyProtection="1">
      <alignment horizontal="right" vertical="center"/>
      <protection locked="0"/>
    </xf>
    <xf numFmtId="0" fontId="41" fillId="2" borderId="0" xfId="18" applyFont="1" applyFill="1" applyAlignment="1">
      <alignment vertical="center"/>
    </xf>
    <xf numFmtId="0" fontId="42" fillId="2" borderId="0" xfId="18" applyFont="1" applyFill="1" applyAlignment="1">
      <alignment horizontal="center" vertical="center"/>
    </xf>
    <xf numFmtId="0" fontId="43" fillId="2" borderId="0" xfId="18" applyFont="1" applyFill="1" applyAlignment="1" applyProtection="1">
      <alignment vertical="center"/>
      <protection locked="0"/>
    </xf>
    <xf numFmtId="0" fontId="44" fillId="2" borderId="0" xfId="18" applyFont="1" applyFill="1" applyAlignment="1" applyProtection="1">
      <alignment vertical="center"/>
      <protection locked="0"/>
    </xf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2" xfId="0" applyFont="1" applyFill="1" applyBorder="1">
      <alignment vertical="center"/>
    </xf>
    <xf numFmtId="0" fontId="5" fillId="3" borderId="27" xfId="0" applyFont="1" applyFill="1" applyBorder="1">
      <alignment vertical="center"/>
    </xf>
    <xf numFmtId="0" fontId="5" fillId="3" borderId="0" xfId="0" applyFont="1" applyFill="1">
      <alignment vertical="center"/>
    </xf>
    <xf numFmtId="177" fontId="5" fillId="3" borderId="27" xfId="0" applyNumberFormat="1" applyFont="1" applyFill="1" applyBorder="1" applyAlignment="1">
      <alignment horizontal="right" vertical="center"/>
    </xf>
    <xf numFmtId="177" fontId="5" fillId="3" borderId="13" xfId="0" applyNumberFormat="1" applyFont="1" applyFill="1" applyBorder="1" applyAlignment="1">
      <alignment horizontal="right" vertical="center"/>
    </xf>
    <xf numFmtId="0" fontId="21" fillId="3" borderId="12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2" fillId="3" borderId="0" xfId="0" applyFont="1" applyFill="1">
      <alignment vertical="center"/>
    </xf>
    <xf numFmtId="177" fontId="2" fillId="3" borderId="27" xfId="0" applyNumberFormat="1" applyFont="1" applyFill="1" applyBorder="1" applyAlignment="1">
      <alignment horizontal="right" vertical="center"/>
    </xf>
    <xf numFmtId="177" fontId="2" fillId="3" borderId="13" xfId="0" applyNumberFormat="1" applyFont="1" applyFill="1" applyBorder="1" applyAlignment="1">
      <alignment horizontal="right" vertical="center"/>
    </xf>
    <xf numFmtId="0" fontId="22" fillId="3" borderId="12" xfId="0" applyFont="1" applyFill="1" applyBorder="1" applyAlignment="1">
      <alignment horizontal="left" vertical="center"/>
    </xf>
    <xf numFmtId="0" fontId="22" fillId="3" borderId="27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77" fontId="22" fillId="3" borderId="27" xfId="0" applyNumberFormat="1" applyFont="1" applyFill="1" applyBorder="1" applyAlignment="1">
      <alignment horizontal="right" vertical="center"/>
    </xf>
    <xf numFmtId="177" fontId="22" fillId="3" borderId="13" xfId="0" applyNumberFormat="1" applyFont="1" applyFill="1" applyBorder="1" applyAlignment="1">
      <alignment horizontal="right" vertical="center"/>
    </xf>
    <xf numFmtId="0" fontId="9" fillId="4" borderId="2" xfId="18" applyFont="1" applyFill="1" applyBorder="1" applyAlignment="1" applyProtection="1">
      <alignment horizontal="center" vertical="center"/>
      <protection locked="0"/>
    </xf>
    <xf numFmtId="0" fontId="9" fillId="4" borderId="3" xfId="18" applyFont="1" applyFill="1" applyBorder="1" applyAlignment="1" applyProtection="1">
      <alignment horizontal="center" vertical="center"/>
      <protection locked="0"/>
    </xf>
    <xf numFmtId="0" fontId="9" fillId="4" borderId="4" xfId="18" applyFont="1" applyFill="1" applyBorder="1" applyAlignment="1" applyProtection="1">
      <alignment horizontal="center" vertical="center"/>
      <protection locked="0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26" fillId="2" borderId="0" xfId="18" applyFont="1" applyFill="1" applyAlignment="1" applyProtection="1">
      <alignment horizontal="left" vertical="center"/>
      <protection locked="0"/>
    </xf>
    <xf numFmtId="0" fontId="25" fillId="2" borderId="0" xfId="18" applyFont="1" applyFill="1" applyAlignment="1" applyProtection="1">
      <alignment horizontal="center" vertical="center"/>
      <protection locked="0"/>
    </xf>
    <xf numFmtId="31" fontId="26" fillId="2" borderId="0" xfId="18" applyNumberFormat="1" applyFont="1" applyFill="1" applyAlignment="1" applyProtection="1">
      <alignment horizontal="left" vertical="center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0" fillId="2" borderId="5" xfId="18" applyFont="1" applyFill="1" applyBorder="1" applyAlignment="1" applyProtection="1">
      <alignment horizontal="center" vertical="center" wrapText="1"/>
      <protection locked="0"/>
    </xf>
    <xf numFmtId="0" fontId="40" fillId="2" borderId="5" xfId="18" applyFont="1" applyFill="1" applyBorder="1" applyAlignment="1" applyProtection="1">
      <alignment horizontal="center" vertical="center"/>
      <protection locked="0"/>
    </xf>
    <xf numFmtId="0" fontId="35" fillId="2" borderId="5" xfId="18" applyFont="1" applyFill="1" applyBorder="1" applyAlignment="1" applyProtection="1">
      <alignment horizontal="left" vertical="center"/>
      <protection locked="0"/>
    </xf>
    <xf numFmtId="0" fontId="35" fillId="2" borderId="11" xfId="18" applyFont="1" applyFill="1" applyBorder="1" applyAlignment="1" applyProtection="1">
      <alignment horizontal="left" vertical="center"/>
      <protection locked="0"/>
    </xf>
    <xf numFmtId="0" fontId="39" fillId="4" borderId="1" xfId="19" applyFont="1" applyFill="1" applyBorder="1" applyAlignment="1" applyProtection="1">
      <alignment horizontal="center" vertical="center"/>
      <protection locked="0"/>
    </xf>
    <xf numFmtId="0" fontId="39" fillId="2" borderId="1" xfId="19" applyFont="1" applyFill="1" applyBorder="1" applyAlignment="1" applyProtection="1">
      <alignment horizontal="left" vertical="center"/>
      <protection locked="0"/>
    </xf>
    <xf numFmtId="0" fontId="35" fillId="2" borderId="0" xfId="18" applyFont="1" applyFill="1" applyAlignment="1" applyProtection="1">
      <alignment horizontal="left" vertical="center"/>
      <protection locked="0"/>
    </xf>
    <xf numFmtId="0" fontId="35" fillId="2" borderId="12" xfId="18" applyFont="1" applyFill="1" applyBorder="1" applyAlignment="1" applyProtection="1">
      <alignment horizontal="left" vertical="center"/>
      <protection locked="0"/>
    </xf>
    <xf numFmtId="0" fontId="39" fillId="2" borderId="1" xfId="19" applyFont="1" applyFill="1" applyBorder="1" applyAlignment="1" applyProtection="1">
      <alignment horizontal="center" vertical="center"/>
      <protection locked="0"/>
    </xf>
    <xf numFmtId="0" fontId="45" fillId="2" borderId="0" xfId="18" applyFont="1" applyFill="1" applyAlignment="1" applyProtection="1">
      <alignment vertical="center"/>
      <protection locked="0"/>
    </xf>
    <xf numFmtId="181" fontId="45" fillId="2" borderId="0" xfId="18" applyNumberFormat="1" applyFont="1" applyFill="1" applyAlignment="1" applyProtection="1">
      <alignment horizontal="left" vertical="center"/>
      <protection locked="0"/>
    </xf>
    <xf numFmtId="0" fontId="46" fillId="2" borderId="0" xfId="18" applyFont="1" applyFill="1" applyAlignment="1" applyProtection="1">
      <alignment vertical="center"/>
      <protection locked="0"/>
    </xf>
    <xf numFmtId="0" fontId="47" fillId="2" borderId="0" xfId="18" applyFont="1" applyFill="1" applyAlignment="1" applyProtection="1">
      <alignment vertical="center"/>
      <protection locked="0"/>
    </xf>
    <xf numFmtId="182" fontId="45" fillId="2" borderId="0" xfId="18" applyNumberFormat="1" applyFont="1" applyFill="1" applyAlignment="1" applyProtection="1">
      <alignment horizontal="left" vertical="center"/>
      <protection locked="0"/>
    </xf>
    <xf numFmtId="176" fontId="45" fillId="2" borderId="0" xfId="18" quotePrefix="1" applyNumberFormat="1" applyFont="1" applyFill="1" applyAlignment="1" applyProtection="1">
      <alignment horizontal="left" vertical="center"/>
      <protection locked="0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1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20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9" xr:uid="{00000000-0005-0000-0000-00001B000000}"/>
    <cellStyle name="표준_31(수)" xfId="22" xr:uid="{00000000-0005-0000-0000-00001C000000}"/>
    <cellStyle name="표준_IMP810278 중앙대학교의료원MP1000NT" xfId="18" xr:uid="{00000000-0005-0000-0000-00001D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3</xdr:col>
      <xdr:colOff>2686050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704850" y="182880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1657350</xdr:colOff>
      <xdr:row>8</xdr:row>
      <xdr:rowOff>38100</xdr:rowOff>
    </xdr:from>
    <xdr:to>
      <xdr:col>3</xdr:col>
      <xdr:colOff>3622025</xdr:colOff>
      <xdr:row>9</xdr:row>
      <xdr:rowOff>38100</xdr:rowOff>
    </xdr:to>
    <xdr:sp macro="" textlink="">
      <xdr:nvSpPr>
        <xdr:cNvPr id="3" name="Text 34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3162300" y="1676400"/>
          <a:ext cx="1964675" cy="1905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원정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세액포함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2679700</xdr:colOff>
      <xdr:row>7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704850" y="1447800"/>
          <a:ext cx="2679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6" name="Line 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6349</xdr:colOff>
      <xdr:row>5</xdr:row>
      <xdr:rowOff>0</xdr:rowOff>
    </xdr:from>
    <xdr:to>
      <xdr:col>3</xdr:col>
      <xdr:colOff>1299882</xdr:colOff>
      <xdr:row>5</xdr:row>
      <xdr:rowOff>0</xdr:rowOff>
    </xdr:to>
    <xdr:sp macro="" textlink="">
      <xdr:nvSpPr>
        <xdr:cNvPr id="20" name="Line 7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>
          <a:off x="1507937" y="1187824"/>
          <a:ext cx="1293533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2054225</xdr:colOff>
      <xdr:row>5</xdr:row>
      <xdr:rowOff>161925</xdr:rowOff>
    </xdr:from>
    <xdr:to>
      <xdr:col>3</xdr:col>
      <xdr:colOff>2438068</xdr:colOff>
      <xdr:row>7</xdr:row>
      <xdr:rowOff>0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2759075" y="1228725"/>
          <a:ext cx="383843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 editAs="oneCell">
    <xdr:from>
      <xdr:col>4</xdr:col>
      <xdr:colOff>34290</xdr:colOff>
      <xdr:row>2</xdr:row>
      <xdr:rowOff>57150</xdr:rowOff>
    </xdr:from>
    <xdr:to>
      <xdr:col>7</xdr:col>
      <xdr:colOff>933450</xdr:colOff>
      <xdr:row>10</xdr:row>
      <xdr:rowOff>13970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37"/>
        <a:stretch>
          <a:fillRect/>
        </a:stretch>
      </xdr:blipFill>
      <xdr:spPr bwMode="auto">
        <a:xfrm>
          <a:off x="5368290" y="571500"/>
          <a:ext cx="2870835" cy="164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</xdr:colOff>
      <xdr:row>9</xdr:row>
      <xdr:rowOff>161925</xdr:rowOff>
    </xdr:from>
    <xdr:to>
      <xdr:col>3</xdr:col>
      <xdr:colOff>2695575</xdr:colOff>
      <xdr:row>9</xdr:row>
      <xdr:rowOff>161925</xdr:rowOff>
    </xdr:to>
    <xdr:sp macro="" textlink="">
      <xdr:nvSpPr>
        <xdr:cNvPr id="27" name="Line 2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 noChangeShapeType="1"/>
        </xdr:cNvSpPr>
      </xdr:nvSpPr>
      <xdr:spPr bwMode="auto">
        <a:xfrm>
          <a:off x="1514475" y="169545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363071</xdr:colOff>
      <xdr:row>44</xdr:row>
      <xdr:rowOff>12328</xdr:rowOff>
    </xdr:from>
    <xdr:to>
      <xdr:col>5</xdr:col>
      <xdr:colOff>434341</xdr:colOff>
      <xdr:row>45</xdr:row>
      <xdr:rowOff>20730</xdr:rowOff>
    </xdr:to>
    <xdr:sp macro="" textlink="">
      <xdr:nvSpPr>
        <xdr:cNvPr id="30" name="Text Box 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363071" y="11901769"/>
          <a:ext cx="6081433" cy="245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주소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:  </a:t>
          </a: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경기도 파주시  상지석길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21  </a:t>
          </a:r>
          <a:r>
            <a:rPr lang="en-US" sz="800" b="0" i="0"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latin typeface="+mn-lt"/>
              <a:ea typeface="+mn-ea"/>
              <a:cs typeface="+mn-cs"/>
            </a:rPr>
            <a:t>우</a:t>
          </a:r>
          <a:r>
            <a:rPr lang="en-US" sz="800" b="0" i="0">
              <a:latin typeface="+mn-lt"/>
              <a:ea typeface="+mn-ea"/>
              <a:cs typeface="+mn-cs"/>
            </a:rPr>
            <a:t>) 10911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TEL : +82-70-7119-2500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FAX : +82 70 5052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5800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/ E-mal : sales@mek-ics.com </a:t>
          </a:r>
          <a:endParaRPr lang="en-US" altLang="ko-KR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X47"/>
  <sheetViews>
    <sheetView tabSelected="1" zoomScaleNormal="100" zoomScaleSheetLayoutView="100" workbookViewId="0">
      <selection activeCell="N11" sqref="N11"/>
    </sheetView>
  </sheetViews>
  <sheetFormatPr defaultColWidth="9.75" defaultRowHeight="13.5"/>
  <cols>
    <col min="1" max="1" width="5.5" style="22" customWidth="1"/>
    <col min="2" max="2" width="10.375" style="22" customWidth="1"/>
    <col min="3" max="3" width="3.875" style="22" customWidth="1"/>
    <col min="4" max="4" width="52.75" style="22" customWidth="1"/>
    <col min="5" max="5" width="6.375" style="23" customWidth="1"/>
    <col min="6" max="6" width="6.5" style="23" customWidth="1"/>
    <col min="7" max="7" width="13.125" style="22" customWidth="1"/>
    <col min="8" max="8" width="17.875" style="22" customWidth="1"/>
    <col min="9" max="9" width="2.75" style="22" customWidth="1"/>
    <col min="10" max="10" width="4.625" style="22" customWidth="1"/>
    <col min="11" max="24" width="9.75" style="22" phonetic="1"/>
    <col min="25" max="16384" width="9.75" style="22"/>
  </cols>
  <sheetData>
    <row r="1" spans="1:24" ht="27">
      <c r="A1" s="9"/>
      <c r="B1" s="9"/>
      <c r="C1" s="9"/>
      <c r="D1" s="9"/>
      <c r="E1" s="10"/>
      <c r="F1" s="10"/>
      <c r="G1" s="9"/>
      <c r="H1" s="9"/>
      <c r="J1" s="5"/>
    </row>
    <row r="2" spans="1:24" ht="35.25">
      <c r="A2" s="110" t="s">
        <v>57</v>
      </c>
      <c r="B2" s="110"/>
      <c r="C2" s="110"/>
      <c r="D2" s="110"/>
      <c r="E2" s="110"/>
      <c r="F2" s="110"/>
      <c r="G2" s="110"/>
      <c r="H2" s="110"/>
      <c r="J2" s="2"/>
      <c r="K2" s="83" t="s" ph="1">
        <v>58</v>
      </c>
    </row>
    <row r="3" spans="1:24" ht="24">
      <c r="A3" s="9"/>
      <c r="B3" s="9"/>
      <c r="C3" s="9"/>
      <c r="D3" s="9"/>
      <c r="E3" s="10"/>
      <c r="F3" s="10"/>
      <c r="G3" s="9"/>
      <c r="H3" s="9"/>
      <c r="J3" s="2"/>
    </row>
    <row r="4" spans="1:24" s="24" customFormat="1" ht="19.5" customHeight="1">
      <c r="A4" s="109" t="s">
        <v>14</v>
      </c>
      <c r="B4" s="109"/>
      <c r="C4" s="11"/>
      <c r="D4" s="122" t="s">
        <v>50</v>
      </c>
      <c r="E4" s="13"/>
      <c r="F4" s="13"/>
      <c r="G4" s="14"/>
      <c r="H4" s="12"/>
      <c r="J4" s="4"/>
      <c r="K4" s="24" ph="1"/>
      <c r="L4" s="24" ph="1"/>
      <c r="M4" s="24" ph="1"/>
      <c r="N4" s="24" ph="1"/>
      <c r="O4" s="24" ph="1"/>
      <c r="P4" s="24" ph="1"/>
      <c r="Q4" s="24" ph="1"/>
      <c r="R4" s="24" ph="1"/>
      <c r="S4" s="24" ph="1"/>
      <c r="T4" s="24" ph="1"/>
      <c r="U4" s="24" ph="1"/>
      <c r="V4" s="24" ph="1"/>
      <c r="W4" s="24" ph="1"/>
      <c r="X4" s="24" ph="1"/>
    </row>
    <row r="5" spans="1:24" s="24" customFormat="1" ht="15" customHeight="1">
      <c r="A5" s="111" t="s">
        <v>15</v>
      </c>
      <c r="B5" s="111"/>
      <c r="C5" s="15"/>
      <c r="D5" s="123" t="s">
        <v>52</v>
      </c>
      <c r="E5" s="13"/>
      <c r="F5" s="13"/>
      <c r="G5" s="12"/>
      <c r="H5" s="12"/>
      <c r="J5" s="2"/>
      <c r="K5" s="24" ph="1"/>
      <c r="L5" s="24" ph="1"/>
      <c r="M5" s="24" ph="1"/>
      <c r="N5" s="24" ph="1"/>
      <c r="O5" s="24" ph="1"/>
      <c r="P5" s="24" ph="1"/>
      <c r="Q5" s="24" ph="1"/>
      <c r="R5" s="24" ph="1"/>
      <c r="S5" s="24" ph="1"/>
      <c r="T5" s="24" ph="1"/>
      <c r="U5" s="24" ph="1"/>
      <c r="V5" s="24" ph="1"/>
      <c r="W5" s="24" ph="1"/>
      <c r="X5" s="24" ph="1"/>
    </row>
    <row r="6" spans="1:24" ht="15" customHeight="1">
      <c r="A6" s="16"/>
      <c r="B6" s="16"/>
      <c r="C6" s="17"/>
      <c r="D6" s="124"/>
      <c r="E6" s="10"/>
      <c r="F6" s="10"/>
      <c r="G6" s="9"/>
      <c r="H6" s="9"/>
      <c r="J6" s="2"/>
    </row>
    <row r="7" spans="1:24" ht="15" customHeight="1">
      <c r="A7" s="109" t="s">
        <v>16</v>
      </c>
      <c r="B7" s="109"/>
      <c r="C7" s="11"/>
      <c r="D7" s="122" t="s">
        <v>53</v>
      </c>
      <c r="E7" s="10"/>
      <c r="F7" s="10"/>
      <c r="G7" s="18"/>
      <c r="H7" s="9"/>
      <c r="J7" s="3"/>
    </row>
    <row r="8" spans="1:24" ht="15" customHeight="1">
      <c r="A8" s="19"/>
      <c r="B8" s="19"/>
      <c r="C8" s="20"/>
      <c r="D8" s="125" t="s">
        <v>54</v>
      </c>
      <c r="E8" s="10"/>
      <c r="F8" s="10"/>
      <c r="G8" s="9"/>
      <c r="H8" s="9"/>
      <c r="J8" s="3"/>
    </row>
    <row r="9" spans="1:24" s="24" customFormat="1" ht="15" customHeight="1">
      <c r="A9" s="109" t="s">
        <v>17</v>
      </c>
      <c r="B9" s="109"/>
      <c r="C9" s="11"/>
      <c r="D9" s="126">
        <f>H40</f>
        <v>19800000</v>
      </c>
      <c r="E9" s="13"/>
      <c r="F9" s="13"/>
      <c r="G9" s="12"/>
      <c r="H9" s="12"/>
      <c r="J9" s="3"/>
      <c r="K9" s="24" ph="1"/>
      <c r="L9" s="24" ph="1"/>
      <c r="M9" s="24" ph="1"/>
      <c r="N9" s="24" ph="1"/>
      <c r="O9" s="24" ph="1"/>
      <c r="P9" s="24" ph="1"/>
      <c r="Q9" s="24" ph="1"/>
      <c r="R9" s="24" ph="1"/>
      <c r="S9" s="24" ph="1"/>
      <c r="T9" s="24" ph="1"/>
      <c r="U9" s="24" ph="1"/>
      <c r="V9" s="24" ph="1"/>
      <c r="W9" s="24" ph="1"/>
      <c r="X9" s="24" ph="1"/>
    </row>
    <row r="10" spans="1:24" ht="15" customHeight="1">
      <c r="A10" s="109" t="s">
        <v>18</v>
      </c>
      <c r="B10" s="109"/>
      <c r="C10" s="11"/>
      <c r="D10" s="127">
        <f>H40</f>
        <v>19800000</v>
      </c>
      <c r="E10" s="10"/>
      <c r="F10" s="10"/>
      <c r="G10" s="9"/>
      <c r="H10" s="9"/>
      <c r="J10" s="3"/>
    </row>
    <row r="11" spans="1:24" s="24" customFormat="1" ht="15" customHeight="1">
      <c r="A11" s="12"/>
      <c r="B11" s="12"/>
      <c r="C11" s="12"/>
      <c r="D11" s="12"/>
      <c r="E11" s="13"/>
      <c r="F11" s="13"/>
      <c r="G11" s="21"/>
      <c r="H11" s="12"/>
      <c r="J11" s="3"/>
      <c r="K11" s="24" ph="1"/>
      <c r="L11" s="24" ph="1"/>
      <c r="M11" s="24" ph="1"/>
      <c r="N11" s="24" ph="1"/>
      <c r="O11" s="24" ph="1"/>
      <c r="P11" s="24" ph="1"/>
      <c r="Q11" s="24" ph="1"/>
      <c r="R11" s="24" ph="1"/>
      <c r="S11" s="24" ph="1"/>
      <c r="T11" s="24" ph="1"/>
      <c r="U11" s="24" ph="1"/>
      <c r="V11" s="24" ph="1"/>
      <c r="W11" s="24" ph="1"/>
      <c r="X11" s="24" ph="1"/>
    </row>
    <row r="12" spans="1:24" ht="19.5" customHeight="1" thickBot="1">
      <c r="A12" s="86" t="s">
        <v>23</v>
      </c>
      <c r="B12" s="21"/>
      <c r="C12" s="21"/>
      <c r="D12" s="85"/>
      <c r="E12" s="10"/>
      <c r="F12" s="10"/>
      <c r="G12" s="9"/>
      <c r="H12" s="9"/>
      <c r="J12" s="6" t="s">
        <v>11</v>
      </c>
    </row>
    <row r="13" spans="1:24" s="24" customFormat="1" ht="19.5" customHeight="1" thickBot="1">
      <c r="A13" s="25" t="s">
        <v>3</v>
      </c>
      <c r="B13" s="107" t="s">
        <v>8</v>
      </c>
      <c r="C13" s="108"/>
      <c r="D13" s="26"/>
      <c r="E13" s="73" t="s">
        <v>4</v>
      </c>
      <c r="F13" s="74" t="s">
        <v>5</v>
      </c>
      <c r="G13" s="73" t="s">
        <v>6</v>
      </c>
      <c r="H13" s="75" t="s">
        <v>7</v>
      </c>
      <c r="J13" s="7" t="s">
        <v>1</v>
      </c>
      <c r="K13" s="24" ph="1"/>
      <c r="L13" s="24" ph="1"/>
      <c r="M13" s="24" ph="1"/>
      <c r="N13" s="24" ph="1"/>
      <c r="O13" s="24" ph="1"/>
      <c r="P13" s="24" ph="1"/>
      <c r="Q13" s="24" ph="1"/>
      <c r="R13" s="24" ph="1"/>
      <c r="S13" s="24" ph="1"/>
      <c r="T13" s="24" ph="1"/>
      <c r="U13" s="24" ph="1"/>
      <c r="V13" s="24" ph="1"/>
      <c r="W13" s="24" ph="1"/>
      <c r="X13" s="24" ph="1"/>
    </row>
    <row r="14" spans="1:24" ht="19.5" customHeight="1" thickTop="1">
      <c r="A14" s="48"/>
      <c r="B14" s="49" t="s">
        <v>32</v>
      </c>
      <c r="C14" s="50"/>
      <c r="D14" s="51"/>
      <c r="E14" s="52"/>
      <c r="F14" s="50"/>
      <c r="G14" s="53"/>
      <c r="H14" s="72" t="s">
        <v>28</v>
      </c>
      <c r="J14" s="8" t="str">
        <f>IF(A14&gt;0,A14,"")</f>
        <v/>
      </c>
    </row>
    <row r="15" spans="1:24" ht="19.5" customHeight="1">
      <c r="A15" s="54"/>
      <c r="B15" s="60" t="s">
        <v>33</v>
      </c>
      <c r="C15" s="61"/>
      <c r="D15" s="62"/>
      <c r="E15" s="57"/>
      <c r="F15" s="56"/>
      <c r="G15" s="58"/>
      <c r="H15" s="59"/>
      <c r="J15" s="8" t="str">
        <f t="shared" ref="J15:J37" si="0">IF(A15&gt;0,A15,"")</f>
        <v/>
      </c>
    </row>
    <row r="16" spans="1:24" ht="19.5" customHeight="1">
      <c r="A16" s="54"/>
      <c r="B16" s="55" t="s">
        <v>24</v>
      </c>
      <c r="C16" s="56"/>
      <c r="D16" s="89"/>
      <c r="E16" s="90"/>
      <c r="F16" s="91"/>
      <c r="G16" s="92"/>
      <c r="H16" s="93"/>
      <c r="J16" s="8" t="str">
        <f t="shared" si="0"/>
        <v/>
      </c>
    </row>
    <row r="17" spans="1:10" ht="19.5" customHeight="1">
      <c r="A17" s="27"/>
      <c r="B17" s="28"/>
      <c r="C17" s="29"/>
      <c r="D17" s="94"/>
      <c r="E17" s="95"/>
      <c r="F17" s="96"/>
      <c r="G17" s="97"/>
      <c r="H17" s="98"/>
      <c r="J17" s="8" t="str">
        <f t="shared" si="0"/>
        <v/>
      </c>
    </row>
    <row r="18" spans="1:10" ht="19.5" customHeight="1">
      <c r="A18" s="30">
        <v>1</v>
      </c>
      <c r="B18" s="31"/>
      <c r="C18" s="32" t="s">
        <v>46</v>
      </c>
      <c r="D18" s="99"/>
      <c r="E18" s="100">
        <v>2</v>
      </c>
      <c r="F18" s="101" t="s">
        <v>29</v>
      </c>
      <c r="G18" s="102">
        <v>9900000</v>
      </c>
      <c r="H18" s="103">
        <f>E18*G18</f>
        <v>19800000</v>
      </c>
      <c r="J18" s="8">
        <f t="shared" si="0"/>
        <v>1</v>
      </c>
    </row>
    <row r="19" spans="1:10" ht="19.5" customHeight="1">
      <c r="A19" s="30"/>
      <c r="B19" s="31"/>
      <c r="C19" s="32" t="s">
        <v>34</v>
      </c>
      <c r="D19" s="99"/>
      <c r="E19" s="100"/>
      <c r="F19" s="101"/>
      <c r="G19" s="102"/>
      <c r="H19" s="103"/>
      <c r="J19" s="8" t="str">
        <f t="shared" si="0"/>
        <v/>
      </c>
    </row>
    <row r="20" spans="1:10" ht="19.5" customHeight="1">
      <c r="A20" s="30"/>
      <c r="B20" s="31"/>
      <c r="C20" s="32" t="s">
        <v>35</v>
      </c>
      <c r="D20" s="99"/>
      <c r="E20" s="100"/>
      <c r="F20" s="101"/>
      <c r="G20" s="102"/>
      <c r="H20" s="103"/>
      <c r="J20" s="8" t="str">
        <f t="shared" si="0"/>
        <v/>
      </c>
    </row>
    <row r="21" spans="1:10" ht="19.5" customHeight="1">
      <c r="A21" s="30"/>
      <c r="B21" s="31"/>
      <c r="C21" s="32"/>
      <c r="D21" s="99"/>
      <c r="E21" s="100"/>
      <c r="F21" s="101"/>
      <c r="G21" s="102"/>
      <c r="H21" s="103"/>
      <c r="J21" s="8" t="str">
        <f t="shared" si="0"/>
        <v/>
      </c>
    </row>
    <row r="22" spans="1:10" ht="19.5" customHeight="1">
      <c r="A22" s="30"/>
      <c r="B22" s="31"/>
      <c r="C22" s="32" t="s">
        <v>49</v>
      </c>
      <c r="D22" s="33"/>
      <c r="E22" s="34"/>
      <c r="F22" s="35"/>
      <c r="G22" s="36"/>
      <c r="H22" s="37"/>
      <c r="J22" s="8" t="str">
        <f t="shared" si="0"/>
        <v/>
      </c>
    </row>
    <row r="23" spans="1:10" ht="19.5" customHeight="1">
      <c r="A23" s="30"/>
      <c r="B23" s="31"/>
      <c r="C23" s="32" t="s">
        <v>30</v>
      </c>
      <c r="D23" s="33" t="s">
        <v>36</v>
      </c>
      <c r="E23" s="34">
        <v>2</v>
      </c>
      <c r="F23" s="35"/>
      <c r="G23" s="36"/>
      <c r="H23" s="37"/>
      <c r="J23" s="8" t="str">
        <f t="shared" si="0"/>
        <v/>
      </c>
    </row>
    <row r="24" spans="1:10" ht="19.5" customHeight="1">
      <c r="A24" s="30"/>
      <c r="B24" s="31"/>
      <c r="C24" s="32" t="s">
        <v>31</v>
      </c>
      <c r="D24" s="33" t="s">
        <v>47</v>
      </c>
      <c r="E24" s="34">
        <v>2</v>
      </c>
      <c r="F24" s="35"/>
      <c r="G24" s="36"/>
      <c r="H24" s="37"/>
      <c r="J24" s="8" t="str">
        <f t="shared" si="0"/>
        <v/>
      </c>
    </row>
    <row r="25" spans="1:10" ht="19.5" customHeight="1">
      <c r="A25" s="39"/>
      <c r="B25" s="31"/>
      <c r="C25" s="32" t="s">
        <v>30</v>
      </c>
      <c r="D25" s="33" t="s">
        <v>37</v>
      </c>
      <c r="E25" s="34">
        <v>2</v>
      </c>
      <c r="F25" s="35"/>
      <c r="G25" s="36"/>
      <c r="H25" s="37"/>
      <c r="J25" s="8" t="str">
        <f t="shared" si="0"/>
        <v/>
      </c>
    </row>
    <row r="26" spans="1:10" ht="19.5" customHeight="1">
      <c r="A26" s="30"/>
      <c r="B26" s="38"/>
      <c r="C26" s="32" t="s">
        <v>38</v>
      </c>
      <c r="D26" s="33" t="s">
        <v>39</v>
      </c>
      <c r="E26" s="34">
        <v>2</v>
      </c>
      <c r="F26" s="35"/>
      <c r="G26" s="36"/>
      <c r="H26" s="37"/>
      <c r="J26" s="8" t="str">
        <f t="shared" si="0"/>
        <v/>
      </c>
    </row>
    <row r="27" spans="1:10" ht="19.5" customHeight="1">
      <c r="A27" s="30"/>
      <c r="B27" s="38"/>
      <c r="C27" s="32" t="s">
        <v>31</v>
      </c>
      <c r="D27" s="33" t="s">
        <v>40</v>
      </c>
      <c r="E27" s="34">
        <v>2</v>
      </c>
      <c r="F27" s="35"/>
      <c r="G27" s="36"/>
      <c r="H27" s="37"/>
      <c r="J27" s="8" t="str">
        <f t="shared" si="0"/>
        <v/>
      </c>
    </row>
    <row r="28" spans="1:10" ht="19.5" customHeight="1">
      <c r="A28" s="30"/>
      <c r="B28" s="31"/>
      <c r="C28" s="32" t="s">
        <v>31</v>
      </c>
      <c r="D28" s="33" t="s">
        <v>41</v>
      </c>
      <c r="E28" s="34">
        <v>2</v>
      </c>
      <c r="F28" s="35"/>
      <c r="G28" s="36"/>
      <c r="H28" s="37"/>
      <c r="J28" s="8" t="str">
        <f t="shared" si="0"/>
        <v/>
      </c>
    </row>
    <row r="29" spans="1:10" ht="19.5" customHeight="1">
      <c r="A29" s="30"/>
      <c r="B29" s="31"/>
      <c r="C29" s="32" t="s">
        <v>42</v>
      </c>
      <c r="D29" s="33" t="s">
        <v>43</v>
      </c>
      <c r="E29" s="34">
        <v>2</v>
      </c>
      <c r="F29" s="35"/>
      <c r="G29" s="36"/>
      <c r="H29" s="37"/>
      <c r="J29" s="8" t="str">
        <f t="shared" si="0"/>
        <v/>
      </c>
    </row>
    <row r="30" spans="1:10" ht="19.5" customHeight="1">
      <c r="A30" s="30"/>
      <c r="B30" s="31"/>
      <c r="C30" s="32" t="s">
        <v>42</v>
      </c>
      <c r="D30" s="33" t="s">
        <v>44</v>
      </c>
      <c r="E30" s="34">
        <v>2</v>
      </c>
      <c r="F30" s="35"/>
      <c r="G30" s="36"/>
      <c r="H30" s="37"/>
      <c r="J30" s="8" t="str">
        <f t="shared" si="0"/>
        <v/>
      </c>
    </row>
    <row r="31" spans="1:10" ht="19.5" customHeight="1">
      <c r="A31" s="30"/>
      <c r="B31" s="31"/>
      <c r="C31" s="32" t="s">
        <v>42</v>
      </c>
      <c r="D31" s="33" t="s">
        <v>45</v>
      </c>
      <c r="E31" s="34">
        <v>2</v>
      </c>
      <c r="F31" s="35"/>
      <c r="G31" s="36"/>
      <c r="H31" s="37"/>
      <c r="J31" s="8" t="str">
        <f t="shared" si="0"/>
        <v/>
      </c>
    </row>
    <row r="32" spans="1:10" ht="19.5" customHeight="1">
      <c r="A32" s="30"/>
      <c r="B32" s="31"/>
      <c r="C32" s="32"/>
      <c r="D32" s="33"/>
      <c r="E32" s="34"/>
      <c r="F32" s="35"/>
      <c r="G32" s="36"/>
      <c r="H32" s="37"/>
      <c r="J32" s="8" t="str">
        <f t="shared" si="0"/>
        <v/>
      </c>
    </row>
    <row r="33" spans="1:12" ht="19.5" customHeight="1">
      <c r="A33" s="30"/>
      <c r="B33" s="31"/>
      <c r="C33" s="32"/>
      <c r="D33" s="33"/>
      <c r="E33" s="34"/>
      <c r="F33" s="35"/>
      <c r="G33" s="36"/>
      <c r="H33" s="37"/>
      <c r="J33" s="8" t="str">
        <f t="shared" si="0"/>
        <v/>
      </c>
    </row>
    <row r="34" spans="1:12" ht="19.5" customHeight="1">
      <c r="A34" s="30"/>
      <c r="B34" s="31"/>
      <c r="C34" s="32"/>
      <c r="D34" s="33"/>
      <c r="E34" s="34"/>
      <c r="F34" s="35"/>
      <c r="G34" s="36"/>
      <c r="H34" s="37"/>
      <c r="J34" s="8" t="str">
        <f t="shared" si="0"/>
        <v/>
      </c>
    </row>
    <row r="35" spans="1:12" ht="19.5" customHeight="1">
      <c r="A35" s="30"/>
      <c r="B35" s="31"/>
      <c r="C35" s="32"/>
      <c r="D35" s="33"/>
      <c r="E35" s="34"/>
      <c r="F35" s="35"/>
      <c r="G35" s="36"/>
      <c r="H35" s="37"/>
      <c r="J35" s="8" t="str">
        <f t="shared" si="0"/>
        <v/>
      </c>
    </row>
    <row r="36" spans="1:12" ht="19.5" customHeight="1" thickBot="1">
      <c r="A36" s="40"/>
      <c r="B36" s="41"/>
      <c r="C36" s="42"/>
      <c r="D36" s="43"/>
      <c r="E36" s="44"/>
      <c r="F36" s="45"/>
      <c r="G36" s="46"/>
      <c r="H36" s="47"/>
      <c r="J36" s="8" t="str">
        <f t="shared" si="0"/>
        <v/>
      </c>
    </row>
    <row r="37" spans="1:12" ht="19.5" customHeight="1" thickBot="1">
      <c r="A37" s="63"/>
      <c r="B37" s="64"/>
      <c r="C37" s="65"/>
      <c r="D37" s="66"/>
      <c r="E37" s="67"/>
      <c r="F37" s="68"/>
      <c r="G37" s="69"/>
      <c r="H37" s="71"/>
      <c r="J37" s="8" t="str">
        <f t="shared" si="0"/>
        <v/>
      </c>
    </row>
    <row r="38" spans="1:12" ht="19.5" customHeight="1">
      <c r="A38" s="104" t="s">
        <v>10</v>
      </c>
      <c r="B38" s="105"/>
      <c r="C38" s="105"/>
      <c r="D38" s="105"/>
      <c r="E38" s="105"/>
      <c r="F38" s="105"/>
      <c r="G38" s="106"/>
      <c r="H38" s="70"/>
      <c r="J38" s="87"/>
      <c r="K38" s="22"/>
      <c r="L38" s="22"/>
    </row>
    <row r="39" spans="1:12" ht="19.5" customHeight="1">
      <c r="A39" s="115" t="s">
        <v>51</v>
      </c>
      <c r="B39" s="115"/>
      <c r="C39" s="115"/>
      <c r="D39" s="115"/>
      <c r="E39" s="115"/>
      <c r="F39" s="116"/>
      <c r="G39" s="76"/>
      <c r="H39" s="77"/>
      <c r="J39" s="88"/>
      <c r="K39" s="22"/>
      <c r="L39" s="22"/>
    </row>
    <row r="40" spans="1:12" ht="19.5" customHeight="1">
      <c r="A40" s="119" t="s">
        <v>48</v>
      </c>
      <c r="B40" s="119"/>
      <c r="C40" s="119"/>
      <c r="D40" s="119"/>
      <c r="E40" s="119"/>
      <c r="F40" s="120"/>
      <c r="G40" s="76" t="s">
        <v>9</v>
      </c>
      <c r="H40" s="79">
        <f>SUM(H14:H36)</f>
        <v>19800000</v>
      </c>
      <c r="J40" s="1"/>
    </row>
    <row r="41" spans="1:12" ht="19.5" customHeight="1">
      <c r="A41" s="78"/>
      <c r="B41" s="80"/>
      <c r="C41" s="80"/>
      <c r="D41" s="80"/>
      <c r="E41" s="80"/>
      <c r="F41" s="80"/>
      <c r="G41" s="81"/>
      <c r="H41" s="82" t="s">
        <v>26</v>
      </c>
      <c r="J41" s="1"/>
    </row>
    <row r="42" spans="1:12" ht="19.5" customHeight="1">
      <c r="A42" s="117" t="s">
        <v>12</v>
      </c>
      <c r="B42" s="117"/>
      <c r="C42" s="118" t="s">
        <v>25</v>
      </c>
      <c r="D42" s="118"/>
      <c r="E42" s="117" t="s">
        <v>20</v>
      </c>
      <c r="F42" s="117"/>
      <c r="G42" s="121" t="s">
        <v>2</v>
      </c>
      <c r="H42" s="112"/>
      <c r="J42" s="1"/>
    </row>
    <row r="43" spans="1:12" ht="19.5" customHeight="1">
      <c r="A43" s="117" t="s">
        <v>0</v>
      </c>
      <c r="B43" s="117"/>
      <c r="C43" s="118" t="s">
        <v>27</v>
      </c>
      <c r="D43" s="118"/>
      <c r="E43" s="117" t="s">
        <v>21</v>
      </c>
      <c r="F43" s="117"/>
      <c r="G43" s="112" t="s">
        <v>55</v>
      </c>
      <c r="H43" s="112"/>
      <c r="J43" s="1"/>
    </row>
    <row r="44" spans="1:12" ht="19.5" customHeight="1">
      <c r="A44" s="117" t="s">
        <v>13</v>
      </c>
      <c r="B44" s="117"/>
      <c r="C44" s="118" t="s">
        <v>19</v>
      </c>
      <c r="D44" s="118"/>
      <c r="E44" s="117" t="s">
        <v>22</v>
      </c>
      <c r="F44" s="117"/>
      <c r="G44" s="112" t="s">
        <v>56</v>
      </c>
      <c r="H44" s="112"/>
      <c r="J44" s="1"/>
    </row>
    <row r="45" spans="1:12" ht="19.5" customHeight="1">
      <c r="A45" s="113"/>
      <c r="B45" s="114"/>
      <c r="C45" s="114"/>
      <c r="D45" s="114"/>
      <c r="E45" s="114"/>
      <c r="F45" s="114"/>
      <c r="G45" s="114"/>
      <c r="H45" s="114"/>
      <c r="J45" s="1"/>
    </row>
    <row r="46" spans="1:12" ht="24">
      <c r="A46" s="83"/>
      <c r="B46" s="83"/>
      <c r="C46" s="83"/>
      <c r="D46" s="83"/>
      <c r="E46" s="84"/>
      <c r="F46" s="84"/>
      <c r="G46" s="83"/>
      <c r="H46" s="83"/>
    </row>
    <row r="47" spans="1:12" ht="24">
      <c r="A47" s="83"/>
      <c r="B47" s="83"/>
      <c r="C47" s="83"/>
      <c r="D47" s="83"/>
      <c r="E47" s="84"/>
      <c r="F47" s="84"/>
      <c r="G47" s="83"/>
      <c r="H47" s="83"/>
    </row>
  </sheetData>
  <mergeCells count="23">
    <mergeCell ref="G44:H44"/>
    <mergeCell ref="A45:H45"/>
    <mergeCell ref="A39:F39"/>
    <mergeCell ref="A42:B42"/>
    <mergeCell ref="A43:B43"/>
    <mergeCell ref="A44:B44"/>
    <mergeCell ref="C42:D42"/>
    <mergeCell ref="C43:D43"/>
    <mergeCell ref="C44:D44"/>
    <mergeCell ref="A40:F40"/>
    <mergeCell ref="E42:F42"/>
    <mergeCell ref="G42:H42"/>
    <mergeCell ref="E43:F43"/>
    <mergeCell ref="G43:H43"/>
    <mergeCell ref="E44:F44"/>
    <mergeCell ref="A38:G38"/>
    <mergeCell ref="B13:C13"/>
    <mergeCell ref="A10:B10"/>
    <mergeCell ref="A2:H2"/>
    <mergeCell ref="A4:B4"/>
    <mergeCell ref="A5:B5"/>
    <mergeCell ref="A7:B7"/>
    <mergeCell ref="A9:B9"/>
  </mergeCells>
  <phoneticPr fontId="1" type="noConversion"/>
  <pageMargins left="0.39" right="0.17" top="0.91" bottom="5.6145833333333332E-2" header="0.3" footer="0.49"/>
  <pageSetup paperSize="9" scale="77" orientation="portrait" verticalDpi="300" r:id="rId1"/>
  <headerFooter alignWithMargins="0">
    <oddFooter>&amp;R&amp;"Arial,보통"www.mek-ics.com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QT_FORM_TEST</vt:lpstr>
      <vt:lpstr>QT_FORM_TEST!Print_Area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2025-09-19T09:02:41Z</dcterms:modified>
</cp:coreProperties>
</file>